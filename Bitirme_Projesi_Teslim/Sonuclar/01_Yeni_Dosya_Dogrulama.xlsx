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0b2d2e9dc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Ozet" sheetId="1" r:id="R96a49cf0e9014644"/>
    <x:sheet xmlns:r="http://schemas.openxmlformats.org/officeDocument/2006/relationships" name="02_Birim_Dogrulama" sheetId="2" r:id="R08cc8dc4ff564555"/>
    <x:sheet xmlns:r="http://schemas.openxmlformats.org/officeDocument/2006/relationships" name="03_Sifir_Payda" sheetId="3" r:id="Rac59d277b439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4F81BD"/>
      </x:patternFill>
    </x:fill>
    <x:fill>
      <x:patternFill patternType="solid">
        <x:fgColor rgb="FFC6E0B4"/>
      </x:patternFill>
    </x:fill>
    <x:fill>
      <x:patternFill patternType="solid">
        <x:fgColor rgb="FFC65911"/>
      </x:patternFill>
    </x:fill>
  </x:fills>
  <x:borders count="18">
    <x:border/>
    <x:border/>
    <x:border>
      <x:left style="thin">
        <x:color rgb="FFB0B0B0"/>
      </x:left>
      <x:top style="thin">
        <x:color rgb="FFB0B0B0"/>
      </x:top>
    </x:border>
    <x:border>
      <x:top style="thin">
        <x:color rgb="FFB0B0B0"/>
      </x:top>
    </x:border>
    <x:border>
      <x:right style="thin">
        <x:color rgb="FFB0B0B0"/>
      </x:right>
      <x:top style="thin">
        <x:color rgb="FFB0B0B0"/>
      </x:top>
    </x:border>
    <x:border>
      <x:left style="thin">
        <x:color rgb="FFB0B0B0"/>
      </x:left>
    </x:border>
    <x:border>
      <x:right style="thin">
        <x:color rgb="FFB0B0B0"/>
      </x:right>
    </x:border>
    <x:border>
      <x:left style="thin">
        <x:color rgb="FFB0B0B0"/>
      </x:left>
      <x:bottom style="thin">
        <x:color rgb="FFB0B0B0"/>
      </x:bottom>
    </x:border>
    <x:border>
      <x:bottom style="thin">
        <x:color rgb="FFB0B0B0"/>
      </x:bottom>
    </x:border>
    <x:border>
      <x:right style="thin">
        <x:color rgb="FFB0B0B0"/>
      </x:right>
      <x:bottom style="thin">
        <x:color rgb="FFB0B0B0"/>
      </x:bottom>
    </x:border>
    <x:border>
      <x:left style="thin">
        <x:color rgb="FFB0B0B0"/>
      </x:left>
      <x:top style="thin">
        <x:color rgb="FFB0B0B0"/>
      </x:top>
    </x:border>
    <x:border>
      <x:top style="thin">
        <x:color rgb="FFB0B0B0"/>
      </x:top>
    </x:border>
    <x:border>
      <x:right style="thin">
        <x:color rgb="FFB0B0B0"/>
      </x:right>
      <x:top style="thin">
        <x:color rgb="FFB0B0B0"/>
      </x:top>
    </x:border>
    <x:border>
      <x:left style="thin">
        <x:color rgb="FFB0B0B0"/>
      </x:left>
    </x:border>
    <x:border>
      <x:right style="thin">
        <x:color rgb="FFB0B0B0"/>
      </x:right>
    </x:border>
    <x:border>
      <x:left style="thin">
        <x:color rgb="FFB0B0B0"/>
      </x:left>
      <x:bottom style="thin">
        <x:color rgb="FFB0B0B0"/>
      </x:bottom>
    </x:border>
    <x:border>
      <x:bottom style="thin">
        <x:color rgb="FFB0B0B0"/>
      </x:bottom>
    </x:border>
    <x:border>
      <x:right style="thin">
        <x:color rgb="FFB0B0B0"/>
      </x:right>
      <x:bottom style="thin">
        <x:color rgb="FFB0B0B0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0" fillId="4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16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4a9490d374c8f" /><Relationship Type="http://schemas.openxmlformats.org/officeDocument/2006/relationships/theme" Target="/xl/theme/theme1.xml" Id="R9dbf8777ca674e0a" /><Relationship Type="http://schemas.openxmlformats.org/officeDocument/2006/relationships/sharedStrings" Target="/xl/sharedStrings.xml" Id="Rbe7c34941b1942f7" /><Relationship Type="http://schemas.openxmlformats.org/officeDocument/2006/relationships/worksheet" Target="/xl/worksheets/sheet1.xml" Id="R96a49cf0e9014644" /><Relationship Type="http://schemas.openxmlformats.org/officeDocument/2006/relationships/worksheet" Target="/xl/worksheets/sheet2.xml" Id="R08cc8dc4ff564555" /><Relationship Type="http://schemas.openxmlformats.org/officeDocument/2006/relationships/worksheet" Target="/xl/worksheets/sheet3.xml" Id="Rac59d277b4394e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1" hidden="0" customWidth="1"/>
    <x:col min="3" max="3" width="63" hidden="0" customWidth="1"/>
  </x:cols>
  <x:sheetData>
    <x:row r="1" ht="30" customHeight="1">
      <x:c r="A1" s="5" t="str">
        <x:v>2024-2025 Güz Güncel Başarı Dosyası Doğrulama Raporu</x:v>
      </x:c>
      <x:c r="B1" s="5"/>
      <x:c r="C1" s="5"/>
      <x:c r="D1" s="5"/>
      <x:c r="E1" s="5"/>
      <x:c r="F1" s="5"/>
    </x:row>
    <x:row r="3">
      <x:c r="A3" s="35" t="str">
        <x:v>Kontrol</x:v>
      </x:c>
      <x:c r="B3" s="36" t="str">
        <x:v>Sonuç</x:v>
      </x:c>
      <x:c r="C3" s="37" t="str">
        <x:v>Açıklama</x:v>
      </x:c>
    </x:row>
    <x:row r="4">
      <x:c r="A4" s="38" t="str">
        <x:v>Kaynak dosya</x:v>
      </x:c>
      <x:c r="B4" s="39" t="str">
        <x:v>2024-2025_Güz_güncel.xlsx</x:v>
      </x:c>
      <x:c r="C4" s="40" t="str">
        <x:v>Hocanın sonradan gönderdiği güncel dosya</x:v>
      </x:c>
    </x:row>
    <x:row r="5">
      <x:c r="A5" s="38" t="str">
        <x:v>Toplam veri satırı</x:v>
      </x:c>
      <x:c r="B5" s="39" t="n">
        <x:v>11550</x:v>
      </x:c>
      <x:c r="C5" s="40" t="str">
        <x:v>Başlık hariç</x:v>
      </x:c>
    </x:row>
    <x:row r="6">
      <x:c r="A6" s="38" t="str">
        <x:v>TBMYO veri satırı</x:v>
      </x:c>
      <x:c r="B6" s="39" t="n">
        <x:v>270</x:v>
      </x:c>
      <x:c r="C6" s="40" t="str">
        <x:v>Üst Birim = Teknik Bilimler Meslek Yüksekokulu</x:v>
      </x:c>
    </x:row>
    <x:row r="7">
      <x:c r="A7" s="38" t="str">
        <x:v>TBMYO birim sayısı</x:v>
      </x:c>
      <x:c r="B7" s="39" t="n">
        <x:v>19</x:v>
      </x:c>
      <x:c r="C7" s="40" t="str">
        <x:v>Benzersiz program/birim</x:v>
      </x:c>
    </x:row>
    <x:row r="8">
      <x:c r="A8" s="38" t="str">
        <x:v>Ek resmi sütun</x:v>
      </x:c>
      <x:c r="B8" s="39" t="str">
        <x:v>Başarı oranı_Güncel (%)</x:v>
      </x:c>
      <x:c r="C8" s="40" t="str">
        <x:v>Devamsız hariç güncel oran</x:v>
      </x:c>
    </x:row>
    <x:row r="9">
      <x:c r="A9" s="38" t="str">
        <x:v>Doğrulanan satır</x:v>
      </x:c>
      <x:c r="B9" s="39" t="n">
        <x:v>264</x:v>
      </x:c>
      <x:c r="C9" s="40" t="str">
        <x:v>Paydası pozitif ve resmi oranı sayısal satırlar</x:v>
      </x:c>
    </x:row>
    <x:row r="10">
      <x:c r="A10" s="38" t="str">
        <x:v>Sıfır payda</x:v>
      </x:c>
      <x:c r="B10" s="39" t="n">
        <x:v>6</x:v>
      </x:c>
      <x:c r="C10" s="40" t="str">
        <x:v>Öğrenci - DZ = 0; resmi hücre #DIV/0! olabilir</x:v>
      </x:c>
    </x:row>
    <x:row r="11">
      <x:c r="A11" s="38" t="str">
        <x:v>Formül uyumsuzluğu</x:v>
      </x:c>
      <x:c r="B11" s="39" t="n">
        <x:v>0</x:v>
      </x:c>
      <x:c r="C11" s="40" t="str">
        <x:v>0,01 puandan büyük fark</x:v>
      </x:c>
    </x:row>
    <x:row r="12">
      <x:c r="A12" s="41" t="str">
        <x:v>Sonuç</x:v>
      </x:c>
      <x:c r="B12" s="55" t="str">
        <x:v>BAŞARILI</x:v>
      </x:c>
      <x:c r="C12" s="43" t="str">
        <x:v>Başarılı / (Öğrenci - DZ) × 100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9" max="9" width="15" hidden="0" customWidth="1"/>
    <x:col min="10" max="10" width="15" hidden="0" customWidth="1"/>
    <x:col min="11" max="11" width="15" hidden="0" customWidth="1"/>
    <x:col min="8" max="8" width="25" hidden="0" customWidth="1"/>
  </x:cols>
  <x:sheetData>
    <x:row r="1">
      <x:c r="A1" s="67" t="str">
        <x:v>Birim</x:v>
      </x:c>
      <x:c r="B1" s="68" t="str">
        <x:v>Kayıt Sayısı</x:v>
      </x:c>
      <x:c r="C1" s="68" t="str">
        <x:v>Öğrenci Sayısı</x:v>
      </x:c>
      <x:c r="D1" s="68" t="str">
        <x:v>Başarılı</x:v>
      </x:c>
      <x:c r="E1" s="68" t="str">
        <x:v>Başarısız</x:v>
      </x:c>
      <x:c r="F1" s="68" t="str">
        <x:v>DZ</x:v>
      </x:c>
      <x:c r="G1" s="68" t="str">
        <x:v>Devamsız Hariç</x:v>
      </x:c>
      <x:c r="H1" s="68" t="str">
        <x:v>Güncel Başarı Oranı (%)</x:v>
      </x:c>
      <x:c r="I1" s="68" t="str">
        <x:v>Doğrulanan Satır</x:v>
      </x:c>
      <x:c r="J1" s="68" t="str">
        <x:v>Sıfır Payda</x:v>
      </x:c>
      <x:c r="K1" s="69" t="str">
        <x:v>Uyumsuz Satır</x:v>
      </x:c>
    </x:row>
    <x:row r="2">
      <x:c r="A2" s="21" t="str">
        <x:v>Basım ve Yayın Teknolojileri</x:v>
      </x:c>
      <x:c r="B2" s="73" t="n">
        <x:v>14</x:v>
      </x:c>
      <x:c r="C2" s="73" t="n">
        <x:v>777</x:v>
      </x:c>
      <x:c r="D2" s="73" t="n">
        <x:v>559</x:v>
      </x:c>
      <x:c r="E2" s="73" t="n">
        <x:v>218</x:v>
      </x:c>
      <x:c r="F2" s="73" t="n">
        <x:v>164</x:v>
      </x:c>
      <x:c r="G2" s="73" t="n">
        <x:f>C2-F2</x:f>
        <x:v>613</x:v>
      </x:c>
      <x:c r="H2" s="81" t="n">
        <x:f>IF(G2=0,"",D2/G2*100)</x:f>
        <x:v>91.19086460032626</x:v>
      </x:c>
      <x:c r="I2" s="73" t="n">
        <x:v>14</x:v>
      </x:c>
      <x:c r="J2" s="73" t="n">
        <x:v>0</x:v>
      </x:c>
      <x:c r="K2" s="74" t="n">
        <x:v>0</x:v>
      </x:c>
    </x:row>
    <x:row r="3">
      <x:c r="A3" s="21" t="str">
        <x:v>Basım ve YayınTeknolojileri(İÖ)</x:v>
      </x:c>
      <x:c r="B3" s="73" t="n">
        <x:v>14</x:v>
      </x:c>
      <x:c r="C3" s="73" t="n">
        <x:v>21</x:v>
      </x:c>
      <x:c r="D3" s="73" t="n">
        <x:v>21</x:v>
      </x:c>
      <x:c r="E3" s="73" t="n">
        <x:v>0</x:v>
      </x:c>
      <x:c r="F3" s="73" t="n">
        <x:v>0</x:v>
      </x:c>
      <x:c r="G3" s="73" t="n">
        <x:f>C3-F3</x:f>
        <x:v>21</x:v>
      </x:c>
      <x:c r="H3" s="81" t="n">
        <x:f>IF(G3=0,"",D3/G3*100)</x:f>
        <x:v>100</x:v>
      </x:c>
      <x:c r="I3" s="73" t="n">
        <x:v>14</x:v>
      </x:c>
      <x:c r="J3" s="73" t="n">
        <x:v>0</x:v>
      </x:c>
      <x:c r="K3" s="74" t="n">
        <x:v>0</x:v>
      </x:c>
    </x:row>
    <x:row r="4">
      <x:c r="A4" s="21" t="str">
        <x:v>Bilgisayar Programcılığı</x:v>
      </x:c>
      <x:c r="B4" s="73" t="n">
        <x:v>17</x:v>
      </x:c>
      <x:c r="C4" s="73" t="n">
        <x:v>823</x:v>
      </x:c>
      <x:c r="D4" s="73" t="n">
        <x:v>577</x:v>
      </x:c>
      <x:c r="E4" s="73" t="n">
        <x:v>246</x:v>
      </x:c>
      <x:c r="F4" s="73" t="n">
        <x:v>104</x:v>
      </x:c>
      <x:c r="G4" s="73" t="n">
        <x:f>C4-F4</x:f>
        <x:v>719</x:v>
      </x:c>
      <x:c r="H4" s="81" t="n">
        <x:f>IF(G4=0,"",D4/G4*100)</x:f>
        <x:v>80.25034770514604</x:v>
      </x:c>
      <x:c r="I4" s="73" t="n">
        <x:v>17</x:v>
      </x:c>
      <x:c r="J4" s="73" t="n">
        <x:v>0</x:v>
      </x:c>
      <x:c r="K4" s="74" t="n">
        <x:v>0</x:v>
      </x:c>
    </x:row>
    <x:row r="5">
      <x:c r="A5" s="21" t="str">
        <x:v>Bilgisayar Programcılığı (Uzaktan Öğretim)</x:v>
      </x:c>
      <x:c r="B5" s="73" t="n">
        <x:v>12</x:v>
      </x:c>
      <x:c r="C5" s="73" t="n">
        <x:v>810</x:v>
      </x:c>
      <x:c r="D5" s="73" t="n">
        <x:v>325</x:v>
      </x:c>
      <x:c r="E5" s="73" t="n">
        <x:v>485</x:v>
      </x:c>
      <x:c r="F5" s="73" t="n">
        <x:v>0</x:v>
      </x:c>
      <x:c r="G5" s="73" t="n">
        <x:f>C5-F5</x:f>
        <x:v>810</x:v>
      </x:c>
      <x:c r="H5" s="81" t="n">
        <x:f>IF(G5=0,"",D5/G5*100)</x:f>
        <x:v>40.123456790123456</x:v>
      </x:c>
      <x:c r="I5" s="73" t="n">
        <x:v>12</x:v>
      </x:c>
      <x:c r="J5" s="73" t="n">
        <x:v>0</x:v>
      </x:c>
      <x:c r="K5" s="74" t="n">
        <x:v>0</x:v>
      </x:c>
    </x:row>
    <x:row r="6">
      <x:c r="A6" s="21" t="str">
        <x:v>Bilgisayar Programcılığı (İÖ)</x:v>
      </x:c>
      <x:c r="B6" s="73" t="n">
        <x:v>12</x:v>
      </x:c>
      <x:c r="C6" s="73" t="n">
        <x:v>39</x:v>
      </x:c>
      <x:c r="D6" s="73" t="n">
        <x:v>16</x:v>
      </x:c>
      <x:c r="E6" s="73" t="n">
        <x:v>23</x:v>
      </x:c>
      <x:c r="F6" s="73" t="n">
        <x:v>6</x:v>
      </x:c>
      <x:c r="G6" s="73" t="n">
        <x:f>C6-F6</x:f>
        <x:v>33</x:v>
      </x:c>
      <x:c r="H6" s="81" t="n">
        <x:f>IF(G6=0,"",D6/G6*100)</x:f>
        <x:v>48.484848484848484</x:v>
      </x:c>
      <x:c r="I6" s="73" t="n">
        <x:v>11</x:v>
      </x:c>
      <x:c r="J6" s="73" t="n">
        <x:v>1</x:v>
      </x:c>
      <x:c r="K6" s="74" t="n">
        <x:v>0</x:v>
      </x:c>
    </x:row>
    <x:row r="7">
      <x:c r="A7" s="21" t="str">
        <x:v>Elektrik</x:v>
      </x:c>
      <x:c r="B7" s="73" t="n">
        <x:v>16</x:v>
      </x:c>
      <x:c r="C7" s="73" t="n">
        <x:v>802</x:v>
      </x:c>
      <x:c r="D7" s="73" t="n">
        <x:v>583</x:v>
      </x:c>
      <x:c r="E7" s="73" t="n">
        <x:v>219</x:v>
      </x:c>
      <x:c r="F7" s="73" t="n">
        <x:v>86</x:v>
      </x:c>
      <x:c r="G7" s="73" t="n">
        <x:f>C7-F7</x:f>
        <x:v>716</x:v>
      </x:c>
      <x:c r="H7" s="81" t="n">
        <x:f>IF(G7=0,"",D7/G7*100)</x:f>
        <x:v>81.42458100558659</x:v>
      </x:c>
      <x:c r="I7" s="73" t="n">
        <x:v>16</x:v>
      </x:c>
      <x:c r="J7" s="73" t="n">
        <x:v>0</x:v>
      </x:c>
      <x:c r="K7" s="74" t="n">
        <x:v>0</x:v>
      </x:c>
    </x:row>
    <x:row r="8">
      <x:c r="A8" s="21" t="str">
        <x:v>Elektrik (İÖ)</x:v>
      </x:c>
      <x:c r="B8" s="73" t="n">
        <x:v>15</x:v>
      </x:c>
      <x:c r="C8" s="73" t="n">
        <x:v>496</x:v>
      </x:c>
      <x:c r="D8" s="73" t="n">
        <x:v>348</x:v>
      </x:c>
      <x:c r="E8" s="73" t="n">
        <x:v>148</x:v>
      </x:c>
      <x:c r="F8" s="73" t="n">
        <x:v>32</x:v>
      </x:c>
      <x:c r="G8" s="73" t="n">
        <x:f>C8-F8</x:f>
        <x:v>464</x:v>
      </x:c>
      <x:c r="H8" s="81" t="n">
        <x:f>IF(G8=0,"",D8/G8*100)</x:f>
        <x:v>75</x:v>
      </x:c>
      <x:c r="I8" s="73" t="n">
        <x:v>15</x:v>
      </x:c>
      <x:c r="J8" s="73" t="n">
        <x:v>0</x:v>
      </x:c>
      <x:c r="K8" s="74" t="n">
        <x:v>0</x:v>
      </x:c>
    </x:row>
    <x:row r="9">
      <x:c r="A9" s="21" t="str">
        <x:v>Elektronik Haberleşme Teknolojisi</x:v>
      </x:c>
      <x:c r="B9" s="73" t="n">
        <x:v>15</x:v>
      </x:c>
      <x:c r="C9" s="73" t="n">
        <x:v>941</x:v>
      </x:c>
      <x:c r="D9" s="73" t="n">
        <x:v>600</x:v>
      </x:c>
      <x:c r="E9" s="73" t="n">
        <x:v>341</x:v>
      </x:c>
      <x:c r="F9" s="73" t="n">
        <x:v>135</x:v>
      </x:c>
      <x:c r="G9" s="73" t="n">
        <x:f>C9-F9</x:f>
        <x:v>806</x:v>
      </x:c>
      <x:c r="H9" s="81" t="n">
        <x:f>IF(G9=0,"",D9/G9*100)</x:f>
        <x:v>74.44168734491315</x:v>
      </x:c>
      <x:c r="I9" s="73" t="n">
        <x:v>15</x:v>
      </x:c>
      <x:c r="J9" s="73" t="n">
        <x:v>0</x:v>
      </x:c>
      <x:c r="K9" s="74" t="n">
        <x:v>0</x:v>
      </x:c>
    </x:row>
    <x:row r="10">
      <x:c r="A10" s="21" t="str">
        <x:v>Elektronik Haberleşme Teknolojisi (İÖ)</x:v>
      </x:c>
      <x:c r="B10" s="73" t="n">
        <x:v>14</x:v>
      </x:c>
      <x:c r="C10" s="73" t="n">
        <x:v>403</x:v>
      </x:c>
      <x:c r="D10" s="73" t="n">
        <x:v>208</x:v>
      </x:c>
      <x:c r="E10" s="73" t="n">
        <x:v>195</x:v>
      </x:c>
      <x:c r="F10" s="73" t="n">
        <x:v>49</x:v>
      </x:c>
      <x:c r="G10" s="73" t="n">
        <x:f>C10-F10</x:f>
        <x:v>354</x:v>
      </x:c>
      <x:c r="H10" s="81" t="n">
        <x:f>IF(G10=0,"",D10/G10*100)</x:f>
        <x:v>58.75706214689266</x:v>
      </x:c>
      <x:c r="I10" s="73" t="n">
        <x:v>14</x:v>
      </x:c>
      <x:c r="J10" s="73" t="n">
        <x:v>0</x:v>
      </x:c>
      <x:c r="K10" s="74" t="n">
        <x:v>0</x:v>
      </x:c>
    </x:row>
    <x:row r="11">
      <x:c r="A11" s="21" t="str">
        <x:v>Elektronik Teknolojisi</x:v>
      </x:c>
      <x:c r="B11" s="73" t="n">
        <x:v>14</x:v>
      </x:c>
      <x:c r="C11" s="73" t="n">
        <x:v>864</x:v>
      </x:c>
      <x:c r="D11" s="73" t="n">
        <x:v>459</x:v>
      </x:c>
      <x:c r="E11" s="73" t="n">
        <x:v>405</x:v>
      </x:c>
      <x:c r="F11" s="73" t="n">
        <x:v>226</x:v>
      </x:c>
      <x:c r="G11" s="73" t="n">
        <x:f>C11-F11</x:f>
        <x:v>638</x:v>
      </x:c>
      <x:c r="H11" s="81" t="n">
        <x:f>IF(G11=0,"",D11/G11*100)</x:f>
        <x:v>71.9435736677116</x:v>
      </x:c>
      <x:c r="I11" s="73" t="n">
        <x:v>14</x:v>
      </x:c>
      <x:c r="J11" s="73" t="n">
        <x:v>0</x:v>
      </x:c>
      <x:c r="K11" s="74" t="n">
        <x:v>0</x:v>
      </x:c>
    </x:row>
    <x:row r="12">
      <x:c r="A12" s="21" t="str">
        <x:v>Giyim Üretim Teknolojisi</x:v>
      </x:c>
      <x:c r="B12" s="73" t="n">
        <x:v>14</x:v>
      </x:c>
      <x:c r="C12" s="73" t="n">
        <x:v>693</x:v>
      </x:c>
      <x:c r="D12" s="73" t="n">
        <x:v>436</x:v>
      </x:c>
      <x:c r="E12" s="73" t="n">
        <x:v>257</x:v>
      </x:c>
      <x:c r="F12" s="73" t="n">
        <x:v>168</x:v>
      </x:c>
      <x:c r="G12" s="73" t="n">
        <x:f>C12-F12</x:f>
        <x:v>525</x:v>
      </x:c>
      <x:c r="H12" s="81" t="n">
        <x:f>IF(G12=0,"",D12/G12*100)</x:f>
        <x:v>83.04761904761905</x:v>
      </x:c>
      <x:c r="I12" s="73" t="n">
        <x:v>14</x:v>
      </x:c>
      <x:c r="J12" s="73" t="n">
        <x:v>0</x:v>
      </x:c>
      <x:c r="K12" s="74" t="n">
        <x:v>0</x:v>
      </x:c>
    </x:row>
    <x:row r="13">
      <x:c r="A13" s="21" t="str">
        <x:v>Kontrol ve Otomasyon Teknolojisi</x:v>
      </x:c>
      <x:c r="B13" s="73" t="n">
        <x:v>14</x:v>
      </x:c>
      <x:c r="C13" s="73" t="n">
        <x:v>730</x:v>
      </x:c>
      <x:c r="D13" s="73" t="n">
        <x:v>482</x:v>
      </x:c>
      <x:c r="E13" s="73" t="n">
        <x:v>248</x:v>
      </x:c>
      <x:c r="F13" s="73" t="n">
        <x:v>119</x:v>
      </x:c>
      <x:c r="G13" s="73" t="n">
        <x:f>C13-F13</x:f>
        <x:v>611</x:v>
      </x:c>
      <x:c r="H13" s="81" t="n">
        <x:f>IF(G13=0,"",D13/G13*100)</x:f>
        <x:v>78.88707037643208</x:v>
      </x:c>
      <x:c r="I13" s="73" t="n">
        <x:v>14</x:v>
      </x:c>
      <x:c r="J13" s="73" t="n">
        <x:v>0</x:v>
      </x:c>
      <x:c r="K13" s="74" t="n">
        <x:v>0</x:v>
      </x:c>
    </x:row>
    <x:row r="14">
      <x:c r="A14" s="21" t="str">
        <x:v>Makine</x:v>
      </x:c>
      <x:c r="B14" s="73" t="n">
        <x:v>13</x:v>
      </x:c>
      <x:c r="C14" s="73" t="n">
        <x:v>830</x:v>
      </x:c>
      <x:c r="D14" s="73" t="n">
        <x:v>706</x:v>
      </x:c>
      <x:c r="E14" s="73" t="n">
        <x:v>124</x:v>
      </x:c>
      <x:c r="F14" s="73" t="n">
        <x:v>96</x:v>
      </x:c>
      <x:c r="G14" s="73" t="n">
        <x:f>C14-F14</x:f>
        <x:v>734</x:v>
      </x:c>
      <x:c r="H14" s="81" t="n">
        <x:f>IF(G14=0,"",D14/G14*100)</x:f>
        <x:v>96.18528610354224</x:v>
      </x:c>
      <x:c r="I14" s="73" t="n">
        <x:v>13</x:v>
      </x:c>
      <x:c r="J14" s="73" t="n">
        <x:v>0</x:v>
      </x:c>
      <x:c r="K14" s="74" t="n">
        <x:v>0</x:v>
      </x:c>
    </x:row>
    <x:row r="15">
      <x:c r="A15" s="21" t="str">
        <x:v>Moda Tasarımı</x:v>
      </x:c>
      <x:c r="B15" s="73" t="n">
        <x:v>16</x:v>
      </x:c>
      <x:c r="C15" s="73" t="n">
        <x:v>563</x:v>
      </x:c>
      <x:c r="D15" s="73" t="n">
        <x:v>300</x:v>
      </x:c>
      <x:c r="E15" s="73" t="n">
        <x:v>263</x:v>
      </x:c>
      <x:c r="F15" s="73" t="n">
        <x:v>214</x:v>
      </x:c>
      <x:c r="G15" s="73" t="n">
        <x:f>C15-F15</x:f>
        <x:v>349</x:v>
      </x:c>
      <x:c r="H15" s="81" t="n">
        <x:f>IF(G15=0,"",D15/G15*100)</x:f>
        <x:v>85.95988538681948</x:v>
      </x:c>
      <x:c r="I15" s="73" t="n">
        <x:v>16</x:v>
      </x:c>
      <x:c r="J15" s="73" t="n">
        <x:v>0</x:v>
      </x:c>
      <x:c r="K15" s="74" t="n">
        <x:v>0</x:v>
      </x:c>
    </x:row>
    <x:row r="16">
      <x:c r="A16" s="21" t="str">
        <x:v>Moda Tasarımı (Uzaktan Öğretim)</x:v>
      </x:c>
      <x:c r="B16" s="73" t="n">
        <x:v>15</x:v>
      </x:c>
      <x:c r="C16" s="73" t="n">
        <x:v>460</x:v>
      </x:c>
      <x:c r="D16" s="73" t="n">
        <x:v>184</x:v>
      </x:c>
      <x:c r="E16" s="73" t="n">
        <x:v>276</x:v>
      </x:c>
      <x:c r="F16" s="73" t="n">
        <x:v>150</x:v>
      </x:c>
      <x:c r="G16" s="73" t="n">
        <x:f>C16-F16</x:f>
        <x:v>310</x:v>
      </x:c>
      <x:c r="H16" s="81" t="n">
        <x:f>IF(G16=0,"",D16/G16*100)</x:f>
        <x:v>59.354838709677416</x:v>
      </x:c>
      <x:c r="I16" s="73" t="n">
        <x:v>15</x:v>
      </x:c>
      <x:c r="J16" s="73" t="n">
        <x:v>0</x:v>
      </x:c>
      <x:c r="K16" s="74" t="n">
        <x:v>0</x:v>
      </x:c>
    </x:row>
    <x:row r="17">
      <x:c r="A17" s="21" t="str">
        <x:v>Moda Tasarımı (İÖ)</x:v>
      </x:c>
      <x:c r="B17" s="73" t="n">
        <x:v>14</x:v>
      </x:c>
      <x:c r="C17" s="73" t="n">
        <x:v>31</x:v>
      </x:c>
      <x:c r="D17" s="73" t="n">
        <x:v>23</x:v>
      </x:c>
      <x:c r="E17" s="73" t="n">
        <x:v>8</x:v>
      </x:c>
      <x:c r="F17" s="73" t="n">
        <x:v>6</x:v>
      </x:c>
      <x:c r="G17" s="73" t="n">
        <x:f>C17-F17</x:f>
        <x:v>25</x:v>
      </x:c>
      <x:c r="H17" s="81" t="n">
        <x:f>IF(G17=0,"",D17/G17*100)</x:f>
        <x:v>92</x:v>
      </x:c>
      <x:c r="I17" s="73" t="n">
        <x:v>11</x:v>
      </x:c>
      <x:c r="J17" s="73" t="n">
        <x:v>3</x:v>
      </x:c>
      <x:c r="K17" s="74" t="n">
        <x:v>0</x:v>
      </x:c>
    </x:row>
    <x:row r="18">
      <x:c r="A18" s="21" t="str">
        <x:v>İş Sağlığı ve Güvenliği</x:v>
      </x:c>
      <x:c r="B18" s="73" t="n">
        <x:v>13</x:v>
      </x:c>
      <x:c r="C18" s="73" t="n">
        <x:v>458</x:v>
      </x:c>
      <x:c r="D18" s="73" t="n">
        <x:v>190</x:v>
      </x:c>
      <x:c r="E18" s="73" t="n">
        <x:v>268</x:v>
      </x:c>
      <x:c r="F18" s="73" t="n">
        <x:v>238</x:v>
      </x:c>
      <x:c r="G18" s="73" t="n">
        <x:f>C18-F18</x:f>
        <x:v>220</x:v>
      </x:c>
      <x:c r="H18" s="81" t="n">
        <x:f>IF(G18=0,"",D18/G18*100)</x:f>
        <x:v>86.36363636363636</x:v>
      </x:c>
      <x:c r="I18" s="73" t="n">
        <x:v>13</x:v>
      </x:c>
      <x:c r="J18" s="73" t="n">
        <x:v>0</x:v>
      </x:c>
      <x:c r="K18" s="74" t="n">
        <x:v>0</x:v>
      </x:c>
    </x:row>
    <x:row r="19">
      <x:c r="A19" s="21" t="str">
        <x:v>İş Sağlığı ve Güvenliği (Uzaktan Öğretim)</x:v>
      </x:c>
      <x:c r="B19" s="73" t="n">
        <x:v>15</x:v>
      </x:c>
      <x:c r="C19" s="73" t="n">
        <x:v>439</x:v>
      </x:c>
      <x:c r="D19" s="73" t="n">
        <x:v>104</x:v>
      </x:c>
      <x:c r="E19" s="73" t="n">
        <x:v>335</x:v>
      </x:c>
      <x:c r="F19" s="73" t="n">
        <x:v>1</x:v>
      </x:c>
      <x:c r="G19" s="73" t="n">
        <x:f>C19-F19</x:f>
        <x:v>438</x:v>
      </x:c>
      <x:c r="H19" s="81" t="n">
        <x:f>IF(G19=0,"",D19/G19*100)</x:f>
        <x:v>23.74429223744292</x:v>
      </x:c>
      <x:c r="I19" s="73" t="n">
        <x:v>15</x:v>
      </x:c>
      <x:c r="J19" s="73" t="n">
        <x:v>0</x:v>
      </x:c>
      <x:c r="K19" s="74" t="n">
        <x:v>0</x:v>
      </x:c>
    </x:row>
    <x:row r="20">
      <x:c r="A20" s="24" t="str">
        <x:v>İş Sağlığı ve Güvenliği (İÖ)</x:v>
      </x:c>
      <x:c r="B20" s="75" t="n">
        <x:v>13</x:v>
      </x:c>
      <x:c r="C20" s="75" t="n">
        <x:v>29</x:v>
      </x:c>
      <x:c r="D20" s="75" t="n">
        <x:v>12</x:v>
      </x:c>
      <x:c r="E20" s="75" t="n">
        <x:v>17</x:v>
      </x:c>
      <x:c r="F20" s="75" t="n">
        <x:v>8</x:v>
      </x:c>
      <x:c r="G20" s="75" t="n">
        <x:f>C20-F20</x:f>
        <x:v>21</x:v>
      </x:c>
      <x:c r="H20" s="82" t="n">
        <x:f>IF(G20=0,"",D20/G20*100)</x:f>
        <x:v>57.14285714285714</x:v>
      </x:c>
      <x:c r="I20" s="75" t="n">
        <x:v>11</x:v>
      </x:c>
      <x:c r="J20" s="75" t="n">
        <x:v>2</x:v>
      </x:c>
      <x:c r="K20" s="76" t="n">
        <x:v>0</x:v>
      </x:c>
    </x:row>
  </x:sheetData>
  <x:conditionalFormatting sqref="K2:K20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4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95" t="str">
        <x:v>Birim</x:v>
      </x:c>
      <x:c r="B1" s="96" t="str">
        <x:v>Ders Kodu</x:v>
      </x:c>
      <x:c r="C1" s="96" t="str">
        <x:v>Grup No</x:v>
      </x:c>
      <x:c r="D1" s="96" t="str">
        <x:v>Ders Adı</x:v>
      </x:c>
      <x:c r="E1" s="96" t="str">
        <x:v>Öğrenci</x:v>
      </x:c>
      <x:c r="F1" s="96" t="str">
        <x:v>Başarılı</x:v>
      </x:c>
      <x:c r="G1" s="96" t="str">
        <x:v>DZ</x:v>
      </x:c>
      <x:c r="H1" s="97" t="str">
        <x:v>Resmi Güncel Oran</x:v>
      </x:c>
    </x:row>
    <x:row r="2">
      <x:c r="A2" s="21" t="str">
        <x:v>Bilgisayar Programcılığı (İÖ)</x:v>
      </x:c>
      <x:c r="B2" s="22" t="str">
        <x:v>BLY2007</x:v>
      </x:c>
      <x:c r="C2" s="22" t="str">
        <x:v>2</x:v>
      </x:c>
      <x:c r="D2" s="22" t="str">
        <x:v>Gömülü Sistemler</x:v>
      </x:c>
      <x:c r="E2" s="22" t="n">
        <x:v>1</x:v>
      </x:c>
      <x:c r="F2" s="22" t="n">
        <x:v>0</x:v>
      </x:c>
      <x:c r="G2" s="22" t="n">
        <x:v>1</x:v>
      </x:c>
      <x:c r="H2" s="23" t="str">
        <x:v>#DIV/0!</x:v>
      </x:c>
    </x:row>
    <x:row r="3">
      <x:c r="A3" s="21" t="str">
        <x:v>İş Sağlığı ve Güvenliği (İÖ)</x:v>
      </x:c>
      <x:c r="B3" s="22" t="str">
        <x:v>ISG1001</x:v>
      </x:c>
      <x:c r="C3" s="22" t="str">
        <x:v>2</x:v>
      </x:c>
      <x:c r="D3" s="22" t="str">
        <x:v>Meslek Hastalıkları</x:v>
      </x:c>
      <x:c r="E3" s="22" t="n">
        <x:v>1</x:v>
      </x:c>
      <x:c r="F3" s="22" t="n">
        <x:v>0</x:v>
      </x:c>
      <x:c r="G3" s="22" t="n">
        <x:v>1</x:v>
      </x:c>
      <x:c r="H3" s="23" t="str">
        <x:v>#DIV/0!</x:v>
      </x:c>
    </x:row>
    <x:row r="4">
      <x:c r="A4" s="21" t="str">
        <x:v>İş Sağlığı ve Güvenliği (İÖ)</x:v>
      </x:c>
      <x:c r="B4" s="22" t="str">
        <x:v>TBY1012</x:v>
      </x:c>
      <x:c r="C4" s="22" t="str">
        <x:v>2</x:v>
      </x:c>
      <x:c r="D4" s="22" t="str">
        <x:v>Teknolojinin Bilimsel İlkeleri</x:v>
      </x:c>
      <x:c r="E4" s="22" t="n">
        <x:v>1</x:v>
      </x:c>
      <x:c r="F4" s="22" t="n">
        <x:v>0</x:v>
      </x:c>
      <x:c r="G4" s="22" t="n">
        <x:v>1</x:v>
      </x:c>
      <x:c r="H4" s="23" t="str">
        <x:v>#DIV/0!</x:v>
      </x:c>
    </x:row>
    <x:row r="5">
      <x:c r="A5" s="21" t="str">
        <x:v>Moda Tasarımı (İÖ)</x:v>
      </x:c>
      <x:c r="B5" s="22" t="str">
        <x:v>MDY1005</x:v>
      </x:c>
      <x:c r="C5" s="22" t="str">
        <x:v>2</x:v>
      </x:c>
      <x:c r="D5" s="22" t="str">
        <x:v>Temel Sanat Eğitimi I</x:v>
      </x:c>
      <x:c r="E5" s="22" t="n">
        <x:v>1</x:v>
      </x:c>
      <x:c r="F5" s="22" t="n">
        <x:v>0</x:v>
      </x:c>
      <x:c r="G5" s="22" t="n">
        <x:v>1</x:v>
      </x:c>
      <x:c r="H5" s="23" t="str">
        <x:v>#DIV/0!</x:v>
      </x:c>
    </x:row>
    <x:row r="6">
      <x:c r="A6" s="21" t="str">
        <x:v>Moda Tasarımı (İÖ)</x:v>
      </x:c>
      <x:c r="B6" s="22" t="str">
        <x:v>MDY1007</x:v>
      </x:c>
      <x:c r="C6" s="22" t="str">
        <x:v>2</x:v>
      </x:c>
      <x:c r="D6" s="22" t="str">
        <x:v>Deneysel Giysi Tasarımı</x:v>
      </x:c>
      <x:c r="E6" s="22" t="n">
        <x:v>1</x:v>
      </x:c>
      <x:c r="F6" s="22" t="n">
        <x:v>0</x:v>
      </x:c>
      <x:c r="G6" s="22" t="n">
        <x:v>1</x:v>
      </x:c>
      <x:c r="H6" s="23" t="str">
        <x:v>#DIV/0!</x:v>
      </x:c>
    </x:row>
    <x:row r="7">
      <x:c r="A7" s="24" t="str">
        <x:v>Moda Tasarımı (İÖ)</x:v>
      </x:c>
      <x:c r="B7" s="25" t="str">
        <x:v>MDY1011</x:v>
      </x:c>
      <x:c r="C7" s="25" t="str">
        <x:v>2</x:v>
      </x:c>
      <x:c r="D7" s="25" t="str">
        <x:v>Moda Eğilimleri</x:v>
      </x:c>
      <x:c r="E7" s="25" t="n">
        <x:v>1</x:v>
      </x:c>
      <x:c r="F7" s="25" t="n">
        <x:v>0</x:v>
      </x:c>
      <x:c r="G7" s="25" t="n">
        <x:v>1</x:v>
      </x:c>
      <x:c r="H7" s="26" t="str">
        <x:v>#DIV/0!</x:v>
      </x:c>
    </x:row>
  </x:sheetData>
  <x:pageMargins left="0.7" right="0.7" top="0.75" bottom="0.75" header="0.3" footer="0.3"/>
</x:worksheet>
</file>